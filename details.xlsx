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t32576\Desktop\"/>
    </mc:Choice>
  </mc:AlternateContent>
  <xr:revisionPtr revIDLastSave="0" documentId="13_ncr:1_{9425DE2D-C1C4-41A4-B145-B92750F85F9C}" xr6:coauthVersionLast="36" xr6:coauthVersionMax="36" xr10:uidLastSave="{00000000-0000-0000-0000-000000000000}"/>
  <bookViews>
    <workbookView xWindow="930" yWindow="0" windowWidth="22260" windowHeight="12645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G4" i="2"/>
  <c r="F4" i="2"/>
  <c r="H5" i="2"/>
  <c r="M2" i="2"/>
  <c r="I5" i="2" s="1"/>
  <c r="I4" i="2" l="1"/>
</calcChain>
</file>

<file path=xl/sharedStrings.xml><?xml version="1.0" encoding="utf-8"?>
<sst xmlns="http://schemas.openxmlformats.org/spreadsheetml/2006/main" count="87" uniqueCount="66">
  <si>
    <t>Surface Meshing Algorithms Implementation</t>
  </si>
  <si>
    <t>Optimization / Post-processing</t>
  </si>
  <si>
    <t>Export STL</t>
  </si>
  <si>
    <t>CAD functionalities (Import/Export - Closed Checking - Geometrical Queries)</t>
  </si>
  <si>
    <t>Finding the proper CAD Kernel (OCCT, Scad, CGAL, Sumo)</t>
  </si>
  <si>
    <t>Main Tasks</t>
  </si>
  <si>
    <t>CAD Kernel Interface &amp; Tests</t>
  </si>
  <si>
    <t>1.1</t>
  </si>
  <si>
    <t>1</t>
  </si>
  <si>
    <t>1.2</t>
  </si>
  <si>
    <t>Literature Research</t>
  </si>
  <si>
    <t>Investigating Similar Software</t>
  </si>
  <si>
    <t>1.1.1</t>
  </si>
  <si>
    <t>1.1.2</t>
  </si>
  <si>
    <t>Import/Export Capability (Edge connectivity-Surface Representation)</t>
  </si>
  <si>
    <t>1.2.1</t>
  </si>
  <si>
    <t>1.2.2</t>
  </si>
  <si>
    <t>Part Geometry (Solid Operations-Boolean) - Farfield etc.</t>
  </si>
  <si>
    <t>Repairing the problems arised from exporting commercial CAD program</t>
  </si>
  <si>
    <t>Converting to the resultant geometry into the meshable geometry with queries</t>
  </si>
  <si>
    <t>1.3</t>
  </si>
  <si>
    <t>1.3.1</t>
  </si>
  <si>
    <t>1.3.2</t>
  </si>
  <si>
    <t>Implementation to TAMS-Mesh (I/O formatting)</t>
  </si>
  <si>
    <t xml:space="preserve">Curve Modeling Implementations </t>
  </si>
  <si>
    <t xml:space="preserve">Surface Modeling Implementations </t>
  </si>
  <si>
    <t>1.3.3</t>
  </si>
  <si>
    <t>1.3.4</t>
  </si>
  <si>
    <t xml:space="preserve">1D Meshing </t>
  </si>
  <si>
    <t>2D Meshing</t>
  </si>
  <si>
    <t>2.1</t>
  </si>
  <si>
    <t>2.2</t>
  </si>
  <si>
    <t xml:space="preserve">C++ OOP skills + Workspace Prepreation </t>
  </si>
  <si>
    <t>2.0.1</t>
  </si>
  <si>
    <t>2.0.2</t>
  </si>
  <si>
    <t>Determination of Requirement Set</t>
  </si>
  <si>
    <t>Reqired 1D Input Format for 2D Mesh</t>
  </si>
  <si>
    <t xml:space="preserve">Implementation </t>
  </si>
  <si>
    <t>2.0.3</t>
  </si>
  <si>
    <t>Algorithm Literature/Tool Research</t>
  </si>
  <si>
    <t>Suitable algorithm designation and Implementation</t>
  </si>
  <si>
    <t>Examination of Existing Tools (more detailed)</t>
  </si>
  <si>
    <t>Optimization Method Research</t>
  </si>
  <si>
    <t>3.1</t>
  </si>
  <si>
    <t>3.2</t>
  </si>
  <si>
    <t>Export Methods (STL)</t>
  </si>
  <si>
    <t>3.3</t>
  </si>
  <si>
    <t>Quality Metrics Output Tools Implementation/Creation</t>
  </si>
  <si>
    <t xml:space="preserve">Basic Optimization Methods Implementation </t>
  </si>
  <si>
    <t xml:space="preserve">Determination of Best Suitable Data Structure </t>
  </si>
  <si>
    <t>2.2.1</t>
  </si>
  <si>
    <t>2.2.1.1</t>
  </si>
  <si>
    <t>2.2.2</t>
  </si>
  <si>
    <t>2.1.1</t>
  </si>
  <si>
    <t>2.1.2</t>
  </si>
  <si>
    <t>2.1.3</t>
  </si>
  <si>
    <t>2.2.1.2</t>
  </si>
  <si>
    <t>2.2.1.3</t>
  </si>
  <si>
    <t>Triangulation Methods Investigation</t>
  </si>
  <si>
    <t xml:space="preserve">Is There any Existing Libraries </t>
  </si>
  <si>
    <t>Start Date</t>
  </si>
  <si>
    <t>End Date</t>
  </si>
  <si>
    <t>Reserved Days</t>
  </si>
  <si>
    <t>Remaining Days</t>
  </si>
  <si>
    <t>TODAY</t>
  </si>
  <si>
    <t>Literature Research &amp; Investigation of Similar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</si>
</sst>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AE8AA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center" indent="10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 indent="10"/>
    </xf>
    <xf numFmtId="49" fontId="2" fillId="2" borderId="0" xfId="0" applyNumberFormat="1" applyFont="1" applyFill="1" applyAlignment="1">
      <alignment horizontal="right" vertical="center"/>
    </xf>
    <xf numFmtId="0" fontId="0" fillId="2" borderId="0" xfId="0" applyFill="1"/>
    <xf numFmtId="49" fontId="2" fillId="3" borderId="0" xfId="0" applyNumberFormat="1" applyFont="1" applyFill="1" applyAlignment="1">
      <alignment horizontal="right" vertical="center"/>
    </xf>
    <xf numFmtId="0" fontId="0" fillId="3" borderId="0" xfId="0" applyFill="1"/>
    <xf numFmtId="49" fontId="2" fillId="4" borderId="0" xfId="0" applyNumberFormat="1" applyFont="1" applyFill="1" applyAlignment="1">
      <alignment horizontal="right" vertical="center"/>
    </xf>
    <xf numFmtId="0" fontId="0" fillId="4" borderId="0" xfId="0" applyFill="1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left" vertical="center" indent="10"/>
    </xf>
    <xf numFmtId="49" fontId="2" fillId="2" borderId="1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left" vertical="center" indent="10"/>
    </xf>
    <xf numFmtId="49" fontId="2" fillId="3" borderId="9" xfId="0" applyNumberFormat="1" applyFont="1" applyFill="1" applyBorder="1" applyAlignment="1">
      <alignment horizontal="center"/>
    </xf>
    <xf numFmtId="49" fontId="2" fillId="4" borderId="8" xfId="0" applyNumberFormat="1" applyFont="1" applyFill="1" applyBorder="1" applyAlignment="1">
      <alignment horizontal="right" vertical="center"/>
    </xf>
    <xf numFmtId="0" fontId="0" fillId="4" borderId="9" xfId="0" applyFill="1" applyBorder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right" vertical="center"/>
    </xf>
    <xf numFmtId="0" fontId="0" fillId="3" borderId="13" xfId="0" applyFill="1" applyBorder="1"/>
    <xf numFmtId="49" fontId="2" fillId="4" borderId="13" xfId="0" applyNumberFormat="1" applyFont="1" applyFill="1" applyBorder="1" applyAlignment="1">
      <alignment horizontal="right"/>
    </xf>
    <xf numFmtId="0" fontId="1" fillId="3" borderId="13" xfId="0" applyFont="1" applyFill="1" applyBorder="1" applyAlignment="1">
      <alignment horizontal="left" vertical="center" indent="10"/>
    </xf>
    <xf numFmtId="0" fontId="3" fillId="5" borderId="13" xfId="0" applyFont="1" applyFill="1" applyBorder="1" applyAlignment="1">
      <alignment horizontal="left" vertical="center" indent="10"/>
    </xf>
    <xf numFmtId="0" fontId="3" fillId="5" borderId="5" xfId="0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2" fillId="2" borderId="14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4" borderId="16" xfId="0" applyFill="1" applyBorder="1"/>
    <xf numFmtId="0" fontId="0" fillId="3" borderId="16" xfId="0" applyFill="1" applyBorder="1"/>
    <xf numFmtId="0" fontId="0" fillId="2" borderId="16" xfId="0" applyFill="1" applyBorder="1"/>
    <xf numFmtId="0" fontId="3" fillId="5" borderId="16" xfId="0" applyFont="1" applyFill="1" applyBorder="1"/>
    <xf numFmtId="49" fontId="2" fillId="2" borderId="17" xfId="0" applyNumberFormat="1" applyFont="1" applyFill="1" applyBorder="1" applyAlignment="1">
      <alignment horizontal="center"/>
    </xf>
    <xf numFmtId="0" fontId="0" fillId="2" borderId="18" xfId="0" applyFill="1" applyBorder="1"/>
    <xf numFmtId="49" fontId="2" fillId="2" borderId="13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0" fontId="0" fillId="4" borderId="13" xfId="0" applyFill="1" applyBorder="1"/>
    <xf numFmtId="49" fontId="2" fillId="4" borderId="5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indent="10"/>
    </xf>
    <xf numFmtId="14" fontId="0" fillId="0" borderId="0" xfId="0" applyNumberFormat="1"/>
    <xf numFmtId="14" fontId="5" fillId="0" borderId="0" xfId="0" applyNumberFormat="1" applyFont="1"/>
    <xf numFmtId="0" fontId="5" fillId="0" borderId="0" xfId="0" applyFont="1"/>
    <xf numFmtId="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8AA"/>
      <color rgb="FFAFD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4"/>
  <sheetViews>
    <sheetView zoomScale="145" zoomScaleNormal="145" workbookViewId="0">
      <selection activeCell="C15" sqref="C15"/>
    </sheetView>
  </sheetViews>
  <sheetFormatPr defaultRowHeight="15" x14ac:dyDescent="0.25"/>
  <cols>
    <col min="2" max="2" width="22" style="3" bestFit="1" customWidth="1"/>
    <col min="3" max="3" width="70.28515625" bestFit="1" customWidth="1"/>
  </cols>
  <sheetData>
    <row r="2" spans="1:10" x14ac:dyDescent="0.25">
      <c r="C2" s="2" t="s">
        <v>5</v>
      </c>
    </row>
    <row r="3" spans="1:10" x14ac:dyDescent="0.25">
      <c r="B3" s="5" t="s">
        <v>8</v>
      </c>
      <c r="C3" s="6" t="s">
        <v>3</v>
      </c>
    </row>
    <row r="4" spans="1:10" x14ac:dyDescent="0.25">
      <c r="B4" s="9" t="s">
        <v>7</v>
      </c>
      <c r="C4" s="10" t="s">
        <v>4</v>
      </c>
    </row>
    <row r="5" spans="1:10" x14ac:dyDescent="0.25">
      <c r="B5" s="7" t="s">
        <v>12</v>
      </c>
      <c r="C5" s="8" t="s">
        <v>10</v>
      </c>
    </row>
    <row r="6" spans="1:10" x14ac:dyDescent="0.25">
      <c r="B6" s="7" t="s">
        <v>13</v>
      </c>
      <c r="C6" s="8" t="s">
        <v>11</v>
      </c>
    </row>
    <row r="7" spans="1:10" x14ac:dyDescent="0.25">
      <c r="B7" s="9" t="s">
        <v>9</v>
      </c>
      <c r="C7" s="10" t="s">
        <v>6</v>
      </c>
    </row>
    <row r="8" spans="1:10" x14ac:dyDescent="0.25">
      <c r="B8" s="7" t="s">
        <v>15</v>
      </c>
      <c r="C8" s="8" t="s">
        <v>14</v>
      </c>
    </row>
    <row r="9" spans="1:10" x14ac:dyDescent="0.25">
      <c r="B9" s="7" t="s">
        <v>16</v>
      </c>
      <c r="C9" s="8" t="s">
        <v>17</v>
      </c>
    </row>
    <row r="10" spans="1:10" x14ac:dyDescent="0.25">
      <c r="B10" s="9" t="s">
        <v>20</v>
      </c>
      <c r="C10" s="10" t="s">
        <v>23</v>
      </c>
    </row>
    <row r="11" spans="1:10" x14ac:dyDescent="0.25">
      <c r="B11" s="7" t="s">
        <v>21</v>
      </c>
      <c r="C11" s="8" t="s">
        <v>18</v>
      </c>
    </row>
    <row r="12" spans="1:10" x14ac:dyDescent="0.25">
      <c r="B12" s="7" t="s">
        <v>22</v>
      </c>
      <c r="C12" s="8" t="s">
        <v>19</v>
      </c>
    </row>
    <row r="13" spans="1:10" x14ac:dyDescent="0.25">
      <c r="B13" s="4"/>
    </row>
    <row r="14" spans="1:10" x14ac:dyDescent="0.25">
      <c r="A14" s="1"/>
      <c r="B14" s="3">
        <v>2</v>
      </c>
      <c r="C14" t="s">
        <v>0</v>
      </c>
      <c r="J14" s="1"/>
    </row>
    <row r="15" spans="1:10" x14ac:dyDescent="0.25">
      <c r="A15" s="1"/>
      <c r="J15" s="1"/>
    </row>
    <row r="16" spans="1:10" x14ac:dyDescent="0.25">
      <c r="A16" s="1"/>
      <c r="J16" s="1"/>
    </row>
    <row r="17" spans="1:10" x14ac:dyDescent="0.25">
      <c r="A17" s="1"/>
      <c r="J17" s="1"/>
    </row>
    <row r="18" spans="1:10" x14ac:dyDescent="0.25">
      <c r="A18" s="1"/>
      <c r="J18" s="1"/>
    </row>
    <row r="19" spans="1:10" x14ac:dyDescent="0.25">
      <c r="A19" s="1"/>
      <c r="B19" s="3">
        <v>3</v>
      </c>
      <c r="C19" t="s">
        <v>1</v>
      </c>
      <c r="J19" s="1"/>
    </row>
    <row r="20" spans="1:10" x14ac:dyDescent="0.25">
      <c r="A20" s="1"/>
      <c r="J20" s="1"/>
    </row>
    <row r="21" spans="1:10" x14ac:dyDescent="0.25">
      <c r="A21" s="1"/>
      <c r="J21" s="1"/>
    </row>
    <row r="22" spans="1:10" x14ac:dyDescent="0.25">
      <c r="A22" s="1"/>
      <c r="J22" s="1"/>
    </row>
    <row r="23" spans="1:10" x14ac:dyDescent="0.25">
      <c r="A23" s="1"/>
      <c r="B23" s="3">
        <v>4</v>
      </c>
      <c r="C23" t="s">
        <v>2</v>
      </c>
      <c r="J23" s="1"/>
    </row>
    <row r="24" spans="1:10" x14ac:dyDescent="0.25">
      <c r="A24" s="1"/>
      <c r="J24" s="1"/>
    </row>
  </sheetData>
  <pageMargins left="0.7" right="0.7" top="0.75" bottom="0.75" header="0.3" footer="0.3"/>
  <pageSetup paperSize="9" orientation="portrait" r:id="rId1"/>
  <ignoredErrors>
    <ignoredError sqref="B3" numberStoredAsText="1"/>
    <ignoredError sqref="B5:B6 B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58D8-459D-4903-8587-6F5F2588EECD}">
  <dimension ref="A2:M32"/>
  <sheetViews>
    <sheetView tabSelected="1" zoomScale="130" zoomScaleNormal="130" workbookViewId="0">
      <selection activeCell="F10" sqref="F10"/>
    </sheetView>
  </sheetViews>
  <sheetFormatPr defaultRowHeight="15" x14ac:dyDescent="0.25"/>
  <cols>
    <col min="2" max="2" width="4" bestFit="1" customWidth="1"/>
    <col min="3" max="3" width="5.7109375" style="11" bestFit="1" customWidth="1"/>
    <col min="4" max="4" width="7.42578125" style="12" bestFit="1" customWidth="1"/>
    <col min="5" max="5" width="70.28515625" bestFit="1" customWidth="1"/>
    <col min="6" max="6" width="11.5703125" customWidth="1"/>
    <col min="7" max="7" width="10.85546875" customWidth="1"/>
    <col min="8" max="8" width="13.5703125" customWidth="1"/>
    <col min="9" max="9" width="14.7109375" customWidth="1"/>
    <col min="13" max="13" width="10.85546875" bestFit="1" customWidth="1"/>
  </cols>
  <sheetData>
    <row r="2" spans="1:13" ht="15.75" thickBot="1" x14ac:dyDescent="0.3">
      <c r="E2" s="2" t="s">
        <v>5</v>
      </c>
      <c r="F2" t="s">
        <v>60</v>
      </c>
      <c r="G2" t="s">
        <v>61</v>
      </c>
      <c r="H2" t="s">
        <v>62</v>
      </c>
      <c r="I2" t="s">
        <v>63</v>
      </c>
      <c r="L2" t="s">
        <v>64</v>
      </c>
      <c r="M2" s="54">
        <f ca="1">TODAY()</f>
        <v>45688</v>
      </c>
    </row>
    <row r="3" spans="1:13" x14ac:dyDescent="0.25">
      <c r="B3" s="28" t="s">
        <v>8</v>
      </c>
      <c r="C3" s="29"/>
      <c r="D3" s="30"/>
      <c r="E3" s="41" t="s">
        <v>3</v>
      </c>
      <c r="F3" s="54"/>
    </row>
    <row r="4" spans="1:13" x14ac:dyDescent="0.25">
      <c r="B4" s="23" t="s">
        <v>7</v>
      </c>
      <c r="C4" s="24"/>
      <c r="D4" s="25"/>
      <c r="E4" s="42" t="s">
        <v>4</v>
      </c>
      <c r="F4" s="54">
        <f>MIN(F5)</f>
        <v>45693</v>
      </c>
      <c r="G4" s="54">
        <f>MAX(G5)</f>
        <v>45723</v>
      </c>
      <c r="H4">
        <f>_xlfn.DAYS(G4,F4)</f>
        <v>30</v>
      </c>
      <c r="I4">
        <f ca="1">_xlfn.DAYS(G4,M2)</f>
        <v>35</v>
      </c>
    </row>
    <row r="5" spans="1:13" x14ac:dyDescent="0.25">
      <c r="B5" s="32"/>
      <c r="C5" s="26" t="s">
        <v>12</v>
      </c>
      <c r="D5" s="17"/>
      <c r="E5" s="43" t="s">
        <v>65</v>
      </c>
      <c r="F5" s="55">
        <v>45693</v>
      </c>
      <c r="G5" s="55">
        <v>45723</v>
      </c>
      <c r="H5" s="56">
        <f>_xlfn.DAYS(G5,F5)</f>
        <v>30</v>
      </c>
      <c r="I5" s="57">
        <f ca="1">_xlfn.DAYS(G5,$M$2)</f>
        <v>35</v>
      </c>
    </row>
    <row r="6" spans="1:13" x14ac:dyDescent="0.25">
      <c r="B6" s="31" t="s">
        <v>9</v>
      </c>
      <c r="C6" s="27"/>
      <c r="D6" s="19"/>
      <c r="E6" s="42" t="s">
        <v>6</v>
      </c>
    </row>
    <row r="7" spans="1:13" x14ac:dyDescent="0.25">
      <c r="B7" s="32"/>
      <c r="C7" s="26" t="s">
        <v>15</v>
      </c>
      <c r="D7" s="17"/>
      <c r="E7" s="43" t="s">
        <v>14</v>
      </c>
    </row>
    <row r="8" spans="1:13" x14ac:dyDescent="0.25">
      <c r="B8" s="32"/>
      <c r="C8" s="26" t="s">
        <v>16</v>
      </c>
      <c r="D8" s="17"/>
      <c r="E8" s="43" t="s">
        <v>17</v>
      </c>
    </row>
    <row r="9" spans="1:13" x14ac:dyDescent="0.25">
      <c r="B9" s="31" t="s">
        <v>20</v>
      </c>
      <c r="C9" s="27"/>
      <c r="D9" s="19"/>
      <c r="E9" s="42" t="s">
        <v>23</v>
      </c>
    </row>
    <row r="10" spans="1:13" x14ac:dyDescent="0.25">
      <c r="B10" s="32"/>
      <c r="C10" s="26" t="s">
        <v>21</v>
      </c>
      <c r="D10" s="17"/>
      <c r="E10" s="43" t="s">
        <v>18</v>
      </c>
    </row>
    <row r="11" spans="1:13" x14ac:dyDescent="0.25">
      <c r="B11" s="32"/>
      <c r="C11" s="26" t="s">
        <v>22</v>
      </c>
      <c r="D11" s="17"/>
      <c r="E11" s="43" t="s">
        <v>19</v>
      </c>
    </row>
    <row r="12" spans="1:13" x14ac:dyDescent="0.25">
      <c r="B12" s="32"/>
      <c r="C12" s="26" t="s">
        <v>26</v>
      </c>
      <c r="D12" s="17"/>
      <c r="E12" s="43" t="s">
        <v>24</v>
      </c>
    </row>
    <row r="13" spans="1:13" x14ac:dyDescent="0.25">
      <c r="B13" s="32"/>
      <c r="C13" s="26" t="s">
        <v>27</v>
      </c>
      <c r="D13" s="17"/>
      <c r="E13" s="43" t="s">
        <v>25</v>
      </c>
    </row>
    <row r="14" spans="1:13" x14ac:dyDescent="0.25">
      <c r="A14" s="1"/>
      <c r="B14" s="14">
        <v>2</v>
      </c>
      <c r="C14" s="15"/>
      <c r="D14" s="40"/>
      <c r="E14" s="44" t="s">
        <v>0</v>
      </c>
      <c r="L14" s="1"/>
    </row>
    <row r="15" spans="1:13" x14ac:dyDescent="0.25">
      <c r="A15" s="1"/>
      <c r="B15" s="34"/>
      <c r="C15" s="16" t="s">
        <v>33</v>
      </c>
      <c r="D15" s="17"/>
      <c r="E15" s="43" t="s">
        <v>32</v>
      </c>
      <c r="L15" s="1"/>
    </row>
    <row r="16" spans="1:13" x14ac:dyDescent="0.25">
      <c r="A16" s="1"/>
      <c r="B16" s="34"/>
      <c r="C16" s="16" t="s">
        <v>34</v>
      </c>
      <c r="D16" s="17"/>
      <c r="E16" s="43" t="s">
        <v>10</v>
      </c>
      <c r="L16" s="1"/>
    </row>
    <row r="17" spans="1:12" x14ac:dyDescent="0.25">
      <c r="A17" s="13"/>
      <c r="B17" s="21"/>
      <c r="C17" s="22" t="s">
        <v>38</v>
      </c>
      <c r="D17" s="20"/>
      <c r="E17" s="43" t="s">
        <v>41</v>
      </c>
      <c r="L17" s="1"/>
    </row>
    <row r="18" spans="1:12" x14ac:dyDescent="0.25">
      <c r="A18" s="53"/>
      <c r="B18" s="33" t="s">
        <v>30</v>
      </c>
      <c r="C18" s="18"/>
      <c r="D18" s="19"/>
      <c r="E18" s="42" t="s">
        <v>28</v>
      </c>
      <c r="L18" s="1"/>
    </row>
    <row r="19" spans="1:12" x14ac:dyDescent="0.25">
      <c r="A19" s="1"/>
      <c r="B19" s="34"/>
      <c r="C19" s="16" t="s">
        <v>53</v>
      </c>
      <c r="D19" s="17"/>
      <c r="E19" s="43" t="s">
        <v>35</v>
      </c>
      <c r="L19" s="1"/>
    </row>
    <row r="20" spans="1:12" x14ac:dyDescent="0.25">
      <c r="A20" s="1"/>
      <c r="B20" s="34"/>
      <c r="C20" s="16" t="s">
        <v>54</v>
      </c>
      <c r="D20" s="17"/>
      <c r="E20" s="43" t="s">
        <v>36</v>
      </c>
      <c r="L20" s="1"/>
    </row>
    <row r="21" spans="1:12" x14ac:dyDescent="0.25">
      <c r="A21" s="1"/>
      <c r="B21" s="34"/>
      <c r="C21" s="16" t="s">
        <v>55</v>
      </c>
      <c r="D21" s="17"/>
      <c r="E21" s="43" t="s">
        <v>37</v>
      </c>
      <c r="L21" s="1"/>
    </row>
    <row r="22" spans="1:12" x14ac:dyDescent="0.25">
      <c r="A22" s="1"/>
      <c r="B22" s="33" t="s">
        <v>31</v>
      </c>
      <c r="C22" s="18"/>
      <c r="D22" s="19"/>
      <c r="E22" s="42" t="s">
        <v>29</v>
      </c>
      <c r="L22" s="1"/>
    </row>
    <row r="23" spans="1:12" x14ac:dyDescent="0.25">
      <c r="A23" s="1"/>
      <c r="B23" s="34"/>
      <c r="C23" s="16" t="s">
        <v>50</v>
      </c>
      <c r="D23" s="17"/>
      <c r="E23" s="43" t="s">
        <v>39</v>
      </c>
      <c r="L23" s="1"/>
    </row>
    <row r="24" spans="1:12" x14ac:dyDescent="0.25">
      <c r="A24" s="1"/>
      <c r="B24" s="35"/>
      <c r="C24" s="36"/>
      <c r="D24" s="37" t="s">
        <v>51</v>
      </c>
      <c r="E24" s="45" t="s">
        <v>49</v>
      </c>
      <c r="L24" s="1"/>
    </row>
    <row r="25" spans="1:12" x14ac:dyDescent="0.25">
      <c r="A25" s="1"/>
      <c r="B25" s="35"/>
      <c r="C25" s="36"/>
      <c r="D25" s="37" t="s">
        <v>56</v>
      </c>
      <c r="E25" s="45" t="s">
        <v>58</v>
      </c>
      <c r="L25" s="1"/>
    </row>
    <row r="26" spans="1:12" x14ac:dyDescent="0.25">
      <c r="A26" s="1"/>
      <c r="B26" s="35"/>
      <c r="C26" s="36"/>
      <c r="D26" s="37" t="s">
        <v>57</v>
      </c>
      <c r="E26" s="45" t="s">
        <v>59</v>
      </c>
      <c r="L26" s="1"/>
    </row>
    <row r="27" spans="1:12" x14ac:dyDescent="0.25">
      <c r="A27" s="1"/>
      <c r="B27" s="34"/>
      <c r="C27" s="16" t="s">
        <v>52</v>
      </c>
      <c r="D27" s="17"/>
      <c r="E27" s="43" t="s">
        <v>40</v>
      </c>
      <c r="L27" s="1"/>
    </row>
    <row r="28" spans="1:12" x14ac:dyDescent="0.25">
      <c r="B28" s="48">
        <v>3</v>
      </c>
      <c r="C28" s="49"/>
      <c r="D28" s="50"/>
      <c r="E28" s="44" t="s">
        <v>1</v>
      </c>
    </row>
    <row r="29" spans="1:12" x14ac:dyDescent="0.25">
      <c r="B29" s="51"/>
      <c r="C29" s="52" t="s">
        <v>43</v>
      </c>
      <c r="D29" s="19"/>
      <c r="E29" s="42" t="s">
        <v>42</v>
      </c>
    </row>
    <row r="30" spans="1:12" x14ac:dyDescent="0.25">
      <c r="B30" s="51"/>
      <c r="C30" s="52" t="s">
        <v>44</v>
      </c>
      <c r="D30" s="19"/>
      <c r="E30" s="42" t="s">
        <v>48</v>
      </c>
    </row>
    <row r="31" spans="1:12" x14ac:dyDescent="0.25">
      <c r="B31" s="51"/>
      <c r="C31" s="52" t="s">
        <v>46</v>
      </c>
      <c r="D31" s="19"/>
      <c r="E31" s="42" t="s">
        <v>47</v>
      </c>
    </row>
    <row r="32" spans="1:12" ht="15.75" thickBot="1" x14ac:dyDescent="0.3">
      <c r="B32" s="38">
        <v>4</v>
      </c>
      <c r="C32" s="39"/>
      <c r="D32" s="46"/>
      <c r="E32" s="47" t="s">
        <v>45</v>
      </c>
    </row>
  </sheetData>
  <mergeCells count="1">
    <mergeCell ref="B3:D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e1754198-4df3-46ea-b2a6-499d3ff70d66" value=""/>
</sisl>
</file>

<file path=customXml/itemProps1.xml><?xml version="1.0" encoding="utf-8"?>
<ds:datastoreItem xmlns:ds="http://schemas.openxmlformats.org/officeDocument/2006/customXml" ds:itemID="{DE70F11E-E70C-403A-92AE-C2467E73DC2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Can Göktaş</dc:creator>
  <cp:lastModifiedBy>İbrahim Can Göktaş</cp:lastModifiedBy>
  <dcterms:created xsi:type="dcterms:W3CDTF">2015-06-05T18:17:20Z</dcterms:created>
  <dcterms:modified xsi:type="dcterms:W3CDTF">2025-01-31T14:00:06Z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ffbaac43-c9b6-4c78-8e1d-0f22ecd96104</vt:lpwstr>
  </property>
  <property fmtid="{D5CDD505-2E9C-101B-9397-08002B2CF9AE}" pid="3" name="bjSaver">
    <vt:lpwstr>V6Crk1thOPt3fbadREw6N4USvOoZx/KG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5" name="bjDocumentLabelXML-0">
    <vt:lpwstr>ames.com/2008/01/sie/internal/label"&gt;&lt;element uid="e1754198-4df3-46ea-b2a6-499d3ff70d66" value="" /&gt;&lt;/sisl&gt;</vt:lpwstr>
  </property>
  <property fmtid="{D5CDD505-2E9C-101B-9397-08002B2CF9AE}" pid="6" name="bjDocumentSecurityLabel">
    <vt:lpwstr>TASNİF DIŞI - No Header</vt:lpwstr>
  </property>
  <property fmtid="{D5CDD505-2E9C-101B-9397-08002B2CF9AE}" pid="7" name="bjClsUserRVM">
    <vt:lpwstr>[]</vt:lpwstr>
  </property>
</Properties>
</file>